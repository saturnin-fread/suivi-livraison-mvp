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e9dec4056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c05ad75afe0249aa"/>
    <x:sheet xmlns:r="http://schemas.openxmlformats.org/officeDocument/2006/relationships" name="Commandes" sheetId="2" r:id="Rcdd6886537344de3"/>
    <x:sheet xmlns:r="http://schemas.openxmlformats.org/officeDocument/2006/relationships" name="Tournées" sheetId="3" r:id="Rc258ab4617e349ff"/>
    <x:sheet xmlns:r="http://schemas.openxmlformats.org/officeDocument/2006/relationships" name="Incidents" sheetId="4" r:id="Ref6cbe0e00584bd8"/>
    <x:sheet xmlns:r="http://schemas.openxmlformats.org/officeDocument/2006/relationships" name="Clients" sheetId="5" r:id="Redb260dbb2ce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%"/>
  </x:numFmts>
  <x:fonts count="7">
    <x:font>
      <x:sz val="11"/>
      <x:name val="Carlito"/>
    </x:font>
    <x:font>
      <x:sz val="11"/>
      <x:color rgb="FF263C42"/>
      <x:name val="Arial"/>
    </x:font>
    <x:font>
      <x:b/>
      <x:sz val="18"/>
      <x:color rgb="FF263C42"/>
      <x:name val="Arial"/>
    </x:font>
    <x:font>
      <x:sz val="11"/>
      <x:color rgb="FF677979"/>
      <x:name val="Arial"/>
    </x:font>
    <x:font>
      <x:b/>
      <x:sz val="11"/>
      <x:color rgb="FFFFFFFF"/>
      <x:name val="Arial"/>
    </x:font>
    <x:font>
      <x:b/>
      <x:sz val="21"/>
      <x:color rgb="FF263C42"/>
      <x:name val="Arial"/>
    </x:font>
    <x:font>
      <x:b/>
      <x:sz val="24"/>
      <x:color rgb="FF263C4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B51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E81735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1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b11a4ef444ad2" /><Relationship Type="http://schemas.openxmlformats.org/officeDocument/2006/relationships/theme" Target="/xl/theme/theme1.xml" Id="Rb90fc0581716439e" /><Relationship Type="http://schemas.openxmlformats.org/officeDocument/2006/relationships/sharedStrings" Target="/xl/sharedStrings.xml" Id="Rb48f6f6515204ed9" /><Relationship Type="http://schemas.openxmlformats.org/officeDocument/2006/relationships/worksheet" Target="/xl/worksheets/sheet1.xml" Id="Rc05ad75afe0249aa" /><Relationship Type="http://schemas.openxmlformats.org/officeDocument/2006/relationships/worksheet" Target="/xl/worksheets/sheet2.xml" Id="Rcdd6886537344de3" /><Relationship Type="http://schemas.openxmlformats.org/officeDocument/2006/relationships/worksheet" Target="/xl/worksheets/sheet3.xml" Id="Rc258ab4617e349ff" /><Relationship Type="http://schemas.openxmlformats.org/officeDocument/2006/relationships/worksheet" Target="/xl/worksheets/sheet4.xml" Id="Ref6cbe0e00584bd8" /><Relationship Type="http://schemas.openxmlformats.org/officeDocument/2006/relationships/worksheet" Target="/xl/worksheets/sheet5.xml" Id="Redb260dbb2ce44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0c071e7e5e4c8a" /><Relationship Type="http://schemas.openxmlformats.org/officeDocument/2006/relationships/chart" Target="/xl/drawings/charts/chart2.xml" Id="R24a6658a1f2c4f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Commandes par statut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Commandes</c:v>
          </c:tx>
          <c:spPr>
            <a:solidFill xmlns:a="http://schemas.openxmlformats.org/drawingml/2006/main">
              <a:srgbClr val="E81735"/>
            </a:solidFill>
          </c:spPr>
          <c:cat>
            <c:strRef>
              <c:f>'Synthèse'!$B$29:$B$31</c:f>
              <c:strCache>
                <c:ptCount val="0"/>
              </c:strCache>
            </c:strRef>
          </c:cat>
          <c:val>
            <c:numRef>
              <c:f>'Synthèse'!$C$29:$C$31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Commandes créées par jour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Commandes</c:v>
          </c:tx>
          <c:spPr>
            <a:solidFill xmlns:a="http://schemas.openxmlformats.org/drawingml/2006/main">
              <a:srgbClr val="477E6C"/>
            </a:solidFill>
            <a:ln xmlns:a="http://schemas.openxmlformats.org/drawingml/2006/main" w="19050">
              <a:solidFill>
                <a:srgbClr val="477E6C"/>
              </a:solidFill>
            </a:ln>
          </c:spPr>
          <c:marker>
            <c:symbol val="none"/>
          </c:marker>
          <c:cat>
            <c:strRef>
              <c:f>'Synthèse'!$G$29:$G$35</c:f>
              <c:strCache>
                <c:ptCount val="0"/>
              </c:strCache>
            </c:strRef>
          </c:cat>
          <c:val>
            <c:numRef>
              <c:f>'Synthèse'!$H$29:$H$35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0c071e7e5e4c8a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a6658a1f2c4f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xoOrders" displayName="TraxoOrders" ref="A5:H41" headerRowCount="1" totalsRowCount="0" totalsRowShown="0">
  <x:tableColumns count="8">
    <x:tableColumn id="1" name="Commande"/>
    <x:tableColumn id="2" name="Créée le"/>
    <x:tableColumn id="3" name="ID client"/>
    <x:tableColumn id="4" name="Client"/>
    <x:tableColumn id="5" name="Zone"/>
    <x:tableColumn id="6" name="Livreur"/>
    <x:tableColumn id="7" name="Statut"/>
    <x:tableColumn id="8" name="Tourné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raxoTours" displayName="TraxoTours" ref="A5:G26" headerRowCount="1" totalsRowCount="0" totalsRowShown="0">
  <x:tableColumns count="7">
    <x:tableColumn id="1" name="Tournée"/>
    <x:tableColumn id="2" name="Date"/>
    <x:tableColumn id="3" name="Livreur"/>
    <x:tableColumn id="4" name="Zone"/>
    <x:tableColumn id="5" name="Statut"/>
    <x:tableColumn id="6" name="Arrêts"/>
    <x:tableColumn id="7" name="Livré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raxoIncidents" displayName="TraxoIncidents" ref="A5:H12" headerRowCount="1" totalsRowCount="0" totalsRowShown="0">
  <x:tableColumns count="8">
    <x:tableColumn id="1" name="Incident"/>
    <x:tableColumn id="2" name="Date"/>
    <x:tableColumn id="3" name="Commande"/>
    <x:tableColumn id="4" name="ID client"/>
    <x:tableColumn id="5" name="Zone"/>
    <x:tableColumn id="6" name="Livreur"/>
    <x:tableColumn id="7" name="Motif"/>
    <x:tableColumn id="8" name="Statut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raxoClients" displayName="TraxoClients" ref="A5:F17" headerRowCount="1" totalsRowCount="0" totalsRowShown="0">
  <x:tableColumns count="6">
    <x:tableColumn id="1" name="ID client"/>
    <x:tableColumn id="2" name="Client"/>
    <x:tableColumn id="3" name="Zone"/>
    <x:tableColumn id="4" name="Commandes"/>
    <x:tableColumn id="5" name="Livrées"/>
    <x:tableColumn id="6" name="Part livré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fb95f610474f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ddbe8fff204d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6ceeb39bf94a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bab209945649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c03db46cf1423c" /></Relationships>
</file>

<file path=xl/worksheets/sheet1.xml><?xml version="1.0" encoding="utf-8"?>
<x:worksheet xmlns:x="http://schemas.openxmlformats.org/spreadsheetml/2006/main">
  <x:sheetPr>
    <x:tabColor rgb="FFE81735"/>
  </x:sheetPr>
  <x:sheetViews>
    <x:sheetView showGridLines="0" workbookViewId="0"/>
  </x:sheetViews>
  <x:sheetFormatPr defaultRowHeight="15"/>
  <x:cols>
    <x:col min="1" max="1" width="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1"/>
      <x:c r="B2" s="8" t="str">
        <x:v>Votre activité avec TRAXO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/>
      <x:c r="B3" s="1" t="str">
        <x:v>Exemple fictif · 27 septembre – 3 octobre 2026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" t="str">
        <x:v>Commandes</x:v>
      </x:c>
      <x:c r="C6" s="1"/>
      <x:c r="D6" s="1"/>
      <x:c r="E6" s="1" t="str">
        <x:v>Livrées</x:v>
      </x:c>
      <x:c r="F6" s="1"/>
      <x:c r="G6" s="1"/>
      <x:c r="H6" s="1" t="str">
        <x:v>Part livrée</x:v>
      </x:c>
      <x:c r="I6" s="1"/>
      <x:c r="J6" s="1"/>
      <x:c r="K6" s="1" t="str">
        <x:v>Incidents ouverts</x:v>
      </x:c>
      <x:c r="L6" s="1"/>
      <x:c r="M6" s="1"/>
      <x:c r="N6" s="1"/>
    </x:row>
    <x:row r="7" ht="23" customHeight="1">
      <x:c r="A7" s="1"/>
      <x:c r="B7" s="10" t="n">
        <x:f>COUNTA(Commandes!A6:A1041)</x:f>
        <x:v>36</x:v>
      </x:c>
      <x:c r="C7" s="1"/>
      <x:c r="D7" s="1"/>
      <x:c r="E7" s="10" t="n">
        <x:f>COUNTIFS(Commandes!G6:G1041,"Livrée")</x:f>
        <x:v>28</x:v>
      </x:c>
      <x:c r="F7" s="1"/>
      <x:c r="G7" s="1"/>
      <x:c r="H7" s="11" t="n">
        <x:f>IF(B7=0,"n.a.",E7/B7)</x:f>
        <x:v>0.7777777777777778</x:v>
      </x:c>
      <x:c r="I7" s="1"/>
      <x:c r="J7" s="1"/>
      <x:c r="K7" s="10" t="n">
        <x:f>COUNTIFS(Incidents!H6:H1041,"À traiter")</x:f>
        <x:v>3</x:v>
      </x:c>
      <x:c r="L7" s="1"/>
      <x:c r="M7" s="1"/>
      <x:c r="N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/>
      <x:c r="B9" s="1" t="str">
        <x:v>Part livrée : commandes livrées / toutes les commandes, annulations incluses.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/>
      <x:c r="B28" s="1" t="str">
        <x:v>Statut</x:v>
      </x:c>
      <x:c r="C28" s="1" t="str">
        <x:v>Commandes</x:v>
      </x:c>
      <x:c r="D28" s="1"/>
      <x:c r="E28" s="1"/>
      <x:c r="F28" s="1"/>
      <x:c r="G28" s="1" t="str">
        <x:v>Jour</x:v>
      </x:c>
      <x:c r="H28" s="1" t="str">
        <x:v>Commandes</x:v>
      </x:c>
      <x:c r="I28" s="1" t="str">
        <x:v>Date de calcul</x:v>
      </x:c>
      <x:c r="J28" s="1"/>
      <x:c r="K28" s="1"/>
      <x:c r="L28" s="1"/>
      <x:c r="M28" s="1"/>
      <x:c r="N28" s="1"/>
    </x:row>
    <x:row r="29" ht="23" customHeight="1">
      <x:c r="A29" s="1"/>
      <x:c r="B29" s="1" t="str">
        <x:v>Livrée</x:v>
      </x:c>
      <x:c r="C29" s="1" t="n">
        <x:f>COUNTIFS(Commandes!$G$6:$G$1041,B29)</x:f>
        <x:v>28</x:v>
      </x:c>
      <x:c r="D29" s="1"/>
      <x:c r="E29" s="1"/>
      <x:c r="F29" s="1"/>
      <x:c r="G29" s="1" t="str">
        <x:v>27/09</x:v>
      </x:c>
      <x:c r="H29" s="1" t="n">
        <x:f>COUNTIFS(Commandes!$B$6:$B$1041,"&gt;="&amp;I29,Commandes!$B$6:$B$1041,"&lt;"&amp;(I29+1))</x:f>
        <x:v>6</x:v>
      </x:c>
      <x:c r="I29" s="6" t="d">
        <x:v>2026-09-27T00:00:00.000Z</x:v>
      </x:c>
      <x:c r="J29" s="1"/>
      <x:c r="K29" s="1"/>
      <x:c r="L29" s="1"/>
      <x:c r="M29" s="1"/>
      <x:c r="N29" s="1"/>
    </x:row>
    <x:row r="30" ht="23" customHeight="1">
      <x:c r="A30" s="1"/>
      <x:c r="B30" s="1" t="str">
        <x:v>En cours</x:v>
      </x:c>
      <x:c r="C30" s="1" t="n">
        <x:f>COUNTIFS(Commandes!$G$6:$G$1041,B30)</x:f>
        <x:v>4</x:v>
      </x:c>
      <x:c r="D30" s="1"/>
      <x:c r="E30" s="1"/>
      <x:c r="F30" s="1"/>
      <x:c r="G30" s="1" t="str">
        <x:v>28/09</x:v>
      </x:c>
      <x:c r="H30" s="1" t="n">
        <x:f>COUNTIFS(Commandes!$B$6:$B$1041,"&gt;="&amp;I30,Commandes!$B$6:$B$1041,"&lt;"&amp;(I30+1))</x:f>
        <x:v>5</x:v>
      </x:c>
      <x:c r="I30" s="6" t="d">
        <x:v>2026-09-28T00:00:00.000Z</x:v>
      </x:c>
      <x:c r="J30" s="1"/>
      <x:c r="K30" s="1"/>
      <x:c r="L30" s="1"/>
      <x:c r="M30" s="1"/>
      <x:c r="N30" s="1"/>
    </x:row>
    <x:row r="31" ht="23" customHeight="1">
      <x:c r="A31" s="1"/>
      <x:c r="B31" s="1" t="str">
        <x:v>Annulée</x:v>
      </x:c>
      <x:c r="C31" s="1" t="n">
        <x:f>COUNTIFS(Commandes!$G$6:$G$1041,B31)</x:f>
        <x:v>4</x:v>
      </x:c>
      <x:c r="D31" s="1"/>
      <x:c r="E31" s="1"/>
      <x:c r="F31" s="1"/>
      <x:c r="G31" s="1" t="str">
        <x:v>29/09</x:v>
      </x:c>
      <x:c r="H31" s="1" t="n">
        <x:f>COUNTIFS(Commandes!$B$6:$B$1041,"&gt;="&amp;I31,Commandes!$B$6:$B$1041,"&lt;"&amp;(I31+1))</x:f>
        <x:v>5</x:v>
      </x:c>
      <x:c r="I31" s="6" t="d">
        <x:v>2026-09-29T00:00:00.000Z</x:v>
      </x:c>
      <x:c r="J31" s="1"/>
      <x:c r="K31" s="1"/>
      <x:c r="L31" s="1"/>
      <x:c r="M31" s="1"/>
      <x:c r="N31" s="1"/>
    </x:row>
    <x:row r="32" ht="23" customHeight="1">
      <x:c r="A32" s="1"/>
      <x:c r="B32" s="1"/>
      <x:c r="C32" s="1"/>
      <x:c r="D32" s="1"/>
      <x:c r="E32" s="1"/>
      <x:c r="F32" s="1"/>
      <x:c r="G32" s="1" t="str">
        <x:v>30/09</x:v>
      </x:c>
      <x:c r="H32" s="1" t="n">
        <x:f>COUNTIFS(Commandes!$B$6:$B$1041,"&gt;="&amp;I32,Commandes!$B$6:$B$1041,"&lt;"&amp;(I32+1))</x:f>
        <x:v>5</x:v>
      </x:c>
      <x:c r="I32" s="6" t="d">
        <x:v>2026-09-30T00:00:00.000Z</x:v>
      </x:c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 t="str">
        <x:v>01/10</x:v>
      </x:c>
      <x:c r="H33" s="1" t="n">
        <x:f>COUNTIFS(Commandes!$B$6:$B$1041,"&gt;="&amp;I33,Commandes!$B$6:$B$1041,"&lt;"&amp;(I33+1))</x:f>
        <x:v>5</x:v>
      </x:c>
      <x:c r="I33" s="6" t="d">
        <x:v>2026-10-01T00:00:00.000Z</x:v>
      </x:c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 t="str">
        <x:v>02/10</x:v>
      </x:c>
      <x:c r="H34" s="1" t="n">
        <x:f>COUNTIFS(Commandes!$B$6:$B$1041,"&gt;="&amp;I34,Commandes!$B$6:$B$1041,"&lt;"&amp;(I34+1))</x:f>
        <x:v>5</x:v>
      </x:c>
      <x:c r="I34" s="6" t="d">
        <x:v>2026-10-02T00:00:00.000Z</x:v>
      </x:c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 t="str">
        <x:v>03/10</x:v>
      </x:c>
      <x:c r="H35" s="1" t="n">
        <x:f>COUNTIFS(Commandes!$B$6:$B$1041,"&gt;="&amp;I35,Commandes!$B$6:$B$1041,"&lt;"&amp;(I35+1))</x:f>
        <x:v>5</x:v>
      </x:c>
      <x:c r="I35" s="6" t="d">
        <x:v>2026-10-03T00:00:00.000Z</x:v>
      </x:c>
      <x:c r="J35" s="1"/>
      <x:c r="K35" s="1"/>
      <x:c r="L35" s="1"/>
      <x:c r="M35" s="1"/>
      <x:c r="N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3" customHeight="1">
      <x:c r="A38" s="1"/>
      <x:c r="B38" s="1" t="str">
        <x:v>Les calculs couvrent les lignes 6 à 1041. Pour aller au-delà, étendez les formules.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3" customHeight="1">
      <x:c r="A39" s="1"/>
      <x:c r="B39" s="1" t="str">
        <x:v>Ce fichier est un instantané : les modifications dans TRAXO ne le mettent pas à jour.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</x:sheetData>
  <x:mergeCells>
    <x:mergeCell ref="B2:M2"/>
    <x:mergeCell ref="B3:M3"/>
    <x:mergeCell ref="B9:M9"/>
    <x:mergeCell ref="B38:N38"/>
    <x:mergeCell ref="B39:N39"/>
  </x:mergeCells>
  <x:pageMargins left="0.7" right="0.7" top="0.75" bottom="0.75" header="0.3" footer="0.3"/>
  <x:drawing xmlns:r="http://schemas.openxmlformats.org/officeDocument/2006/relationships" r:id="R9ffb95f610474f08"/>
</x:worksheet>
</file>

<file path=xl/worksheets/sheet2.xml><?xml version="1.0" encoding="utf-8"?>
<x:worksheet xmlns:x="http://schemas.openxmlformats.org/spreadsheetml/2006/main">
  <x:sheetPr>
    <x:tabColor rgb="FF6C8C8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5" hidden="0" customWidth="1"/>
    <x:col min="5" max="5" width="20" hidden="0" customWidth="1"/>
    <x:col min="6" max="6" width="24" hidden="0" customWidth="1"/>
    <x:col min="7" max="7" width="20" hidden="0" customWidth="1"/>
    <x:col min="8" max="8" width="2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</x:row>
    <x:row r="2" ht="25" customHeight="1">
      <x:c r="A2" s="2" t="str">
        <x:v>TRAXO · Commandes</x:v>
      </x:c>
      <x:c r="B2" s="1"/>
      <x:c r="C2" s="1"/>
      <x:c r="D2" s="1"/>
      <x:c r="E2" s="1"/>
      <x:c r="F2" s="1"/>
      <x:c r="G2" s="1"/>
      <x:c r="H2" s="1"/>
    </x:row>
    <x:row r="3" ht="25" customHeight="1">
      <x:c r="A3" s="3" t="str">
        <x:v>Données fictives · 27 septembre – 3 octobre 2026</x:v>
      </x:c>
      <x:c r="B3" s="1"/>
      <x:c r="C3" s="1"/>
      <x:c r="D3" s="1"/>
      <x:c r="E3" s="1"/>
      <x:c r="F3" s="1"/>
      <x:c r="G3" s="1"/>
      <x:c r="H3" s="1"/>
    </x:row>
    <x:row r="4" ht="25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5" t="str">
        <x:v>Commande</x:v>
      </x:c>
      <x:c r="B5" s="5" t="str">
        <x:v>Créée le</x:v>
      </x:c>
      <x:c r="C5" s="5" t="str">
        <x:v>ID client</x:v>
      </x:c>
      <x:c r="D5" s="5" t="str">
        <x:v>Client</x:v>
      </x:c>
      <x:c r="E5" s="5" t="str">
        <x:v>Zone</x:v>
      </x:c>
      <x:c r="F5" s="5" t="str">
        <x:v>Livreur</x:v>
      </x:c>
      <x:c r="G5" s="5" t="str">
        <x:v>Statut</x:v>
      </x:c>
      <x:c r="H5" s="5" t="str">
        <x:v>Tournée</x:v>
      </x:c>
    </x:row>
    <x:row r="6" ht="25" customHeight="1">
      <x:c r="A6" s="1" t="str">
        <x:v>CMD-101</x:v>
      </x:c>
      <x:c r="B6" s="6" t="d">
        <x:v>2026-09-27T12:00:00.000Z</x:v>
      </x:c>
      <x:c r="C6" s="1" t="str">
        <x:v>CLI-001</x:v>
      </x:c>
      <x:c r="D6" s="1" t="str">
        <x:v>Mariam Sanni</x:v>
      </x:c>
      <x:c r="E6" s="1" t="str">
        <x:v>Cadjèhoun</x:v>
      </x:c>
      <x:c r="F6" s="1" t="str">
        <x:v>Joël Dossou</x:v>
      </x:c>
      <x:c r="G6" s="1" t="str">
        <x:v>En cours</x:v>
      </x:c>
      <x:c r="H6" s="1" t="str">
        <x:v>TOU-001</x:v>
      </x:c>
    </x:row>
    <x:row r="7" ht="25" customHeight="1">
      <x:c r="A7" s="1" t="str">
        <x:v>CMD-102</x:v>
      </x:c>
      <x:c r="B7" s="6" t="d">
        <x:v>2026-09-28T12:00:00.000Z</x:v>
      </x:c>
      <x:c r="C7" s="1" t="str">
        <x:v>CLI-002</x:v>
      </x:c>
      <x:c r="D7" s="1" t="str">
        <x:v>Boutique Éclat</x:v>
      </x:c>
      <x:c r="E7" s="1" t="str">
        <x:v>Ganhi</x:v>
      </x:c>
      <x:c r="F7" s="1" t="str">
        <x:v>Aïcha Adé</x:v>
      </x:c>
      <x:c r="G7" s="1" t="str">
        <x:v>Annulée</x:v>
      </x:c>
      <x:c r="H7" s="1" t="str">
        <x:v>TOU-005</x:v>
      </x:c>
    </x:row>
    <x:row r="8" ht="25" customHeight="1">
      <x:c r="A8" s="1" t="str">
        <x:v>CMD-103</x:v>
      </x:c>
      <x:c r="B8" s="6" t="d">
        <x:v>2026-09-29T12:00:00.000Z</x:v>
      </x:c>
      <x:c r="C8" s="1" t="str">
        <x:v>CLI-003</x:v>
      </x:c>
      <x:c r="D8" s="1" t="str">
        <x:v>Maison Kora</x:v>
      </x:c>
      <x:c r="E8" s="1" t="str">
        <x:v>Akpakpa</x:v>
      </x:c>
      <x:c r="F8" s="1" t="str">
        <x:v>David Loko</x:v>
      </x:c>
      <x:c r="G8" s="1" t="str">
        <x:v>Livrée</x:v>
      </x:c>
      <x:c r="H8" s="1" t="str">
        <x:v>TOU-009</x:v>
      </x:c>
    </x:row>
    <x:row r="9" ht="25" customHeight="1">
      <x:c r="A9" s="1" t="str">
        <x:v>CMD-104</x:v>
      </x:c>
      <x:c r="B9" s="6" t="d">
        <x:v>2026-09-30T12:00:00.000Z</x:v>
      </x:c>
      <x:c r="C9" s="1" t="str">
        <x:v>CLI-004</x:v>
      </x:c>
      <x:c r="D9" s="1" t="str">
        <x:v>Grâce Dossou</x:v>
      </x:c>
      <x:c r="E9" s="1" t="str">
        <x:v>Cadjèhoun</x:v>
      </x:c>
      <x:c r="F9" s="1" t="str">
        <x:v>Joël Dossou</x:v>
      </x:c>
      <x:c r="G9" s="1" t="str">
        <x:v>Livrée</x:v>
      </x:c>
      <x:c r="H9" s="1" t="str">
        <x:v>TOU-010</x:v>
      </x:c>
    </x:row>
    <x:row r="10" ht="25" customHeight="1">
      <x:c r="A10" s="1" t="str">
        <x:v>CMD-105</x:v>
      </x:c>
      <x:c r="B10" s="6" t="d">
        <x:v>2026-10-01T12:00:00.000Z</x:v>
      </x:c>
      <x:c r="C10" s="1" t="str">
        <x:v>CLI-005</x:v>
      </x:c>
      <x:c r="D10" s="1" t="str">
        <x:v>Atelier Mawu</x:v>
      </x:c>
      <x:c r="E10" s="1" t="str">
        <x:v>Ganhi</x:v>
      </x:c>
      <x:c r="F10" s="1" t="str">
        <x:v>Aïcha Adé</x:v>
      </x:c>
      <x:c r="G10" s="1" t="str">
        <x:v>Livrée</x:v>
      </x:c>
      <x:c r="H10" s="1" t="str">
        <x:v>TOU-014</x:v>
      </x:c>
    </x:row>
    <x:row r="11" ht="25" customHeight="1">
      <x:c r="A11" s="1" t="str">
        <x:v>CMD-106</x:v>
      </x:c>
      <x:c r="B11" s="6" t="d">
        <x:v>2026-10-02T12:00:00.000Z</x:v>
      </x:c>
      <x:c r="C11" s="1" t="str">
        <x:v>CLI-006</x:v>
      </x:c>
      <x:c r="D11" s="1" t="str">
        <x:v>Épicerie Naya</x:v>
      </x:c>
      <x:c r="E11" s="1" t="str">
        <x:v>Akpakpa</x:v>
      </x:c>
      <x:c r="F11" s="1" t="str">
        <x:v>David Loko</x:v>
      </x:c>
      <x:c r="G11" s="1" t="str">
        <x:v>Livrée</x:v>
      </x:c>
      <x:c r="H11" s="1" t="str">
        <x:v>TOU-018</x:v>
      </x:c>
    </x:row>
    <x:row r="12" ht="25" customHeight="1">
      <x:c r="A12" s="1" t="str">
        <x:v>CMD-107</x:v>
      </x:c>
      <x:c r="B12" s="6" t="d">
        <x:v>2026-10-03T12:00:00.000Z</x:v>
      </x:c>
      <x:c r="C12" s="1" t="str">
        <x:v>CLI-007</x:v>
      </x:c>
      <x:c r="D12" s="1" t="str">
        <x:v>Aline Hounkpe</x:v>
      </x:c>
      <x:c r="E12" s="1" t="str">
        <x:v>Cadjèhoun</x:v>
      </x:c>
      <x:c r="F12" s="1" t="str">
        <x:v>Joël Dossou</x:v>
      </x:c>
      <x:c r="G12" s="1" t="str">
        <x:v>Livrée</x:v>
      </x:c>
      <x:c r="H12" s="1" t="str">
        <x:v>TOU-019</x:v>
      </x:c>
    </x:row>
    <x:row r="13" ht="25" customHeight="1">
      <x:c r="A13" s="1" t="str">
        <x:v>CMD-108</x:v>
      </x:c>
      <x:c r="B13" s="6" t="d">
        <x:v>2026-09-27T12:00:00.000Z</x:v>
      </x:c>
      <x:c r="C13" s="1" t="str">
        <x:v>CLI-008</x:v>
      </x:c>
      <x:c r="D13" s="1" t="str">
        <x:v>Sika Mode</x:v>
      </x:c>
      <x:c r="E13" s="1" t="str">
        <x:v>Ganhi</x:v>
      </x:c>
      <x:c r="F13" s="1" t="str">
        <x:v>Aïcha Adé</x:v>
      </x:c>
      <x:c r="G13" s="1" t="str">
        <x:v>Livrée</x:v>
      </x:c>
      <x:c r="H13" s="1" t="str">
        <x:v>TOU-002</x:v>
      </x:c>
    </x:row>
    <x:row r="14" ht="25" customHeight="1">
      <x:c r="A14" s="1" t="str">
        <x:v>CMD-109</x:v>
      </x:c>
      <x:c r="B14" s="6" t="d">
        <x:v>2026-09-28T12:00:00.000Z</x:v>
      </x:c>
      <x:c r="C14" s="1" t="str">
        <x:v>CLI-009</x:v>
      </x:c>
      <x:c r="D14" s="1" t="str">
        <x:v>Paul Agbo</x:v>
      </x:c>
      <x:c r="E14" s="1" t="str">
        <x:v>Akpakpa</x:v>
      </x:c>
      <x:c r="F14" s="1" t="str">
        <x:v>David Loko</x:v>
      </x:c>
      <x:c r="G14" s="1" t="str">
        <x:v>Livrée</x:v>
      </x:c>
      <x:c r="H14" s="1" t="str">
        <x:v>TOU-006</x:v>
      </x:c>
    </x:row>
    <x:row r="15" ht="25" customHeight="1">
      <x:c r="A15" s="1" t="str">
        <x:v>CMD-110</x:v>
      </x:c>
      <x:c r="B15" s="6" t="d">
        <x:v>2026-09-29T12:00:00.000Z</x:v>
      </x:c>
      <x:c r="C15" s="1" t="str">
        <x:v>CLI-010</x:v>
      </x:c>
      <x:c r="D15" s="1" t="str">
        <x:v>Comptoir Léo</x:v>
      </x:c>
      <x:c r="E15" s="1" t="str">
        <x:v>Cadjèhoun</x:v>
      </x:c>
      <x:c r="F15" s="1" t="str">
        <x:v>Joël Dossou</x:v>
      </x:c>
      <x:c r="G15" s="1" t="str">
        <x:v>En cours</x:v>
      </x:c>
      <x:c r="H15" s="1" t="str">
        <x:v>TOU-007</x:v>
      </x:c>
    </x:row>
    <x:row r="16" ht="25" customHeight="1">
      <x:c r="A16" s="1" t="str">
        <x:v>CMD-111</x:v>
      </x:c>
      <x:c r="B16" s="6" t="d">
        <x:v>2026-09-30T12:00:00.000Z</x:v>
      </x:c>
      <x:c r="C16" s="1" t="str">
        <x:v>CLI-011</x:v>
      </x:c>
      <x:c r="D16" s="1" t="str">
        <x:v>Rose Adé</x:v>
      </x:c>
      <x:c r="E16" s="1" t="str">
        <x:v>Ganhi</x:v>
      </x:c>
      <x:c r="F16" s="1" t="str">
        <x:v>Aïcha Adé</x:v>
      </x:c>
      <x:c r="G16" s="1" t="str">
        <x:v>Annulée</x:v>
      </x:c>
      <x:c r="H16" s="1" t="str">
        <x:v>TOU-011</x:v>
      </x:c>
    </x:row>
    <x:row r="17" ht="25" customHeight="1">
      <x:c r="A17" s="1" t="str">
        <x:v>CMD-112</x:v>
      </x:c>
      <x:c r="B17" s="6" t="d">
        <x:v>2026-10-01T12:00:00.000Z</x:v>
      </x:c>
      <x:c r="C17" s="1" t="str">
        <x:v>CLI-012</x:v>
      </x:c>
      <x:c r="D17" s="1" t="str">
        <x:v>Chez Fati</x:v>
      </x:c>
      <x:c r="E17" s="1" t="str">
        <x:v>Akpakpa</x:v>
      </x:c>
      <x:c r="F17" s="1" t="str">
        <x:v>David Loko</x:v>
      </x:c>
      <x:c r="G17" s="1" t="str">
        <x:v>Livrée</x:v>
      </x:c>
      <x:c r="H17" s="1" t="str">
        <x:v>TOU-015</x:v>
      </x:c>
    </x:row>
    <x:row r="18" ht="25" customHeight="1">
      <x:c r="A18" s="1" t="str">
        <x:v>CMD-113</x:v>
      </x:c>
      <x:c r="B18" s="6" t="d">
        <x:v>2026-10-02T12:00:00.000Z</x:v>
      </x:c>
      <x:c r="C18" s="1" t="str">
        <x:v>CLI-001</x:v>
      </x:c>
      <x:c r="D18" s="1" t="str">
        <x:v>Mariam Sanni</x:v>
      </x:c>
      <x:c r="E18" s="1" t="str">
        <x:v>Cadjèhoun</x:v>
      </x:c>
      <x:c r="F18" s="1" t="str">
        <x:v>Joël Dossou</x:v>
      </x:c>
      <x:c r="G18" s="1" t="str">
        <x:v>Livrée</x:v>
      </x:c>
      <x:c r="H18" s="1" t="str">
        <x:v>TOU-016</x:v>
      </x:c>
    </x:row>
    <x:row r="19" ht="25" customHeight="1">
      <x:c r="A19" s="1" t="str">
        <x:v>CMD-114</x:v>
      </x:c>
      <x:c r="B19" s="6" t="d">
        <x:v>2026-10-03T12:00:00.000Z</x:v>
      </x:c>
      <x:c r="C19" s="1" t="str">
        <x:v>CLI-002</x:v>
      </x:c>
      <x:c r="D19" s="1" t="str">
        <x:v>Boutique Éclat</x:v>
      </x:c>
      <x:c r="E19" s="1" t="str">
        <x:v>Ganhi</x:v>
      </x:c>
      <x:c r="F19" s="1" t="str">
        <x:v>Aïcha Adé</x:v>
      </x:c>
      <x:c r="G19" s="1" t="str">
        <x:v>Livrée</x:v>
      </x:c>
      <x:c r="H19" s="1" t="str">
        <x:v>TOU-020</x:v>
      </x:c>
    </x:row>
    <x:row r="20" ht="25" customHeight="1">
      <x:c r="A20" s="1" t="str">
        <x:v>CMD-115</x:v>
      </x:c>
      <x:c r="B20" s="6" t="d">
        <x:v>2026-09-27T12:00:00.000Z</x:v>
      </x:c>
      <x:c r="C20" s="1" t="str">
        <x:v>CLI-003</x:v>
      </x:c>
      <x:c r="D20" s="1" t="str">
        <x:v>Maison Kora</x:v>
      </x:c>
      <x:c r="E20" s="1" t="str">
        <x:v>Akpakpa</x:v>
      </x:c>
      <x:c r="F20" s="1" t="str">
        <x:v>David Loko</x:v>
      </x:c>
      <x:c r="G20" s="1" t="str">
        <x:v>Livrée</x:v>
      </x:c>
      <x:c r="H20" s="1" t="str">
        <x:v>TOU-003</x:v>
      </x:c>
    </x:row>
    <x:row r="21" ht="25" customHeight="1">
      <x:c r="A21" s="1" t="str">
        <x:v>CMD-116</x:v>
      </x:c>
      <x:c r="B21" s="6" t="d">
        <x:v>2026-09-28T12:00:00.000Z</x:v>
      </x:c>
      <x:c r="C21" s="1" t="str">
        <x:v>CLI-004</x:v>
      </x:c>
      <x:c r="D21" s="1" t="str">
        <x:v>Grâce Dossou</x:v>
      </x:c>
      <x:c r="E21" s="1" t="str">
        <x:v>Cadjèhoun</x:v>
      </x:c>
      <x:c r="F21" s="1" t="str">
        <x:v>Joël Dossou</x:v>
      </x:c>
      <x:c r="G21" s="1" t="str">
        <x:v>Livrée</x:v>
      </x:c>
      <x:c r="H21" s="1" t="str">
        <x:v>TOU-004</x:v>
      </x:c>
    </x:row>
    <x:row r="22" ht="25" customHeight="1">
      <x:c r="A22" s="1" t="str">
        <x:v>CMD-117</x:v>
      </x:c>
      <x:c r="B22" s="6" t="d">
        <x:v>2026-09-29T12:00:00.000Z</x:v>
      </x:c>
      <x:c r="C22" s="1" t="str">
        <x:v>CLI-005</x:v>
      </x:c>
      <x:c r="D22" s="1" t="str">
        <x:v>Atelier Mawu</x:v>
      </x:c>
      <x:c r="E22" s="1" t="str">
        <x:v>Ganhi</x:v>
      </x:c>
      <x:c r="F22" s="1" t="str">
        <x:v>Aïcha Adé</x:v>
      </x:c>
      <x:c r="G22" s="1" t="str">
        <x:v>Livrée</x:v>
      </x:c>
      <x:c r="H22" s="1" t="str">
        <x:v>TOU-008</x:v>
      </x:c>
    </x:row>
    <x:row r="23" ht="25" customHeight="1">
      <x:c r="A23" s="1" t="str">
        <x:v>CMD-118</x:v>
      </x:c>
      <x:c r="B23" s="6" t="d">
        <x:v>2026-09-30T12:00:00.000Z</x:v>
      </x:c>
      <x:c r="C23" s="1" t="str">
        <x:v>CLI-006</x:v>
      </x:c>
      <x:c r="D23" s="1" t="str">
        <x:v>Épicerie Naya</x:v>
      </x:c>
      <x:c r="E23" s="1" t="str">
        <x:v>Akpakpa</x:v>
      </x:c>
      <x:c r="F23" s="1" t="str">
        <x:v>David Loko</x:v>
      </x:c>
      <x:c r="G23" s="1" t="str">
        <x:v>Livrée</x:v>
      </x:c>
      <x:c r="H23" s="1" t="str">
        <x:v>TOU-012</x:v>
      </x:c>
    </x:row>
    <x:row r="24" ht="25" customHeight="1">
      <x:c r="A24" s="1" t="str">
        <x:v>CMD-119</x:v>
      </x:c>
      <x:c r="B24" s="6" t="d">
        <x:v>2026-10-01T12:00:00.000Z</x:v>
      </x:c>
      <x:c r="C24" s="1" t="str">
        <x:v>CLI-007</x:v>
      </x:c>
      <x:c r="D24" s="1" t="str">
        <x:v>Aline Hounkpe</x:v>
      </x:c>
      <x:c r="E24" s="1" t="str">
        <x:v>Cadjèhoun</x:v>
      </x:c>
      <x:c r="F24" s="1" t="str">
        <x:v>Joël Dossou</x:v>
      </x:c>
      <x:c r="G24" s="1" t="str">
        <x:v>En cours</x:v>
      </x:c>
      <x:c r="H24" s="1" t="str">
        <x:v>TOU-013</x:v>
      </x:c>
    </x:row>
    <x:row r="25" ht="25" customHeight="1">
      <x:c r="A25" s="1" t="str">
        <x:v>CMD-120</x:v>
      </x:c>
      <x:c r="B25" s="6" t="d">
        <x:v>2026-10-02T12:00:00.000Z</x:v>
      </x:c>
      <x:c r="C25" s="1" t="str">
        <x:v>CLI-008</x:v>
      </x:c>
      <x:c r="D25" s="1" t="str">
        <x:v>Sika Mode</x:v>
      </x:c>
      <x:c r="E25" s="1" t="str">
        <x:v>Ganhi</x:v>
      </x:c>
      <x:c r="F25" s="1" t="str">
        <x:v>Aïcha Adé</x:v>
      </x:c>
      <x:c r="G25" s="1" t="str">
        <x:v>Annulée</x:v>
      </x:c>
      <x:c r="H25" s="1" t="str">
        <x:v>TOU-017</x:v>
      </x:c>
    </x:row>
    <x:row r="26" ht="25" customHeight="1">
      <x:c r="A26" s="1" t="str">
        <x:v>CMD-121</x:v>
      </x:c>
      <x:c r="B26" s="6" t="d">
        <x:v>2026-10-03T12:00:00.000Z</x:v>
      </x:c>
      <x:c r="C26" s="1" t="str">
        <x:v>CLI-009</x:v>
      </x:c>
      <x:c r="D26" s="1" t="str">
        <x:v>Paul Agbo</x:v>
      </x:c>
      <x:c r="E26" s="1" t="str">
        <x:v>Akpakpa</x:v>
      </x:c>
      <x:c r="F26" s="1" t="str">
        <x:v>David Loko</x:v>
      </x:c>
      <x:c r="G26" s="1" t="str">
        <x:v>Livrée</x:v>
      </x:c>
      <x:c r="H26" s="1" t="str">
        <x:v>TOU-021</x:v>
      </x:c>
    </x:row>
    <x:row r="27" ht="25" customHeight="1">
      <x:c r="A27" s="1" t="str">
        <x:v>CMD-122</x:v>
      </x:c>
      <x:c r="B27" s="6" t="d">
        <x:v>2026-09-27T12:00:00.000Z</x:v>
      </x:c>
      <x:c r="C27" s="1" t="str">
        <x:v>CLI-010</x:v>
      </x:c>
      <x:c r="D27" s="1" t="str">
        <x:v>Comptoir Léo</x:v>
      </x:c>
      <x:c r="E27" s="1" t="str">
        <x:v>Cadjèhoun</x:v>
      </x:c>
      <x:c r="F27" s="1" t="str">
        <x:v>Joël Dossou</x:v>
      </x:c>
      <x:c r="G27" s="1" t="str">
        <x:v>Livrée</x:v>
      </x:c>
      <x:c r="H27" s="1" t="str">
        <x:v>TOU-001</x:v>
      </x:c>
    </x:row>
    <x:row r="28" ht="25" customHeight="1">
      <x:c r="A28" s="1" t="str">
        <x:v>CMD-123</x:v>
      </x:c>
      <x:c r="B28" s="6" t="d">
        <x:v>2026-09-28T12:00:00.000Z</x:v>
      </x:c>
      <x:c r="C28" s="1" t="str">
        <x:v>CLI-011</x:v>
      </x:c>
      <x:c r="D28" s="1" t="str">
        <x:v>Rose Adé</x:v>
      </x:c>
      <x:c r="E28" s="1" t="str">
        <x:v>Ganhi</x:v>
      </x:c>
      <x:c r="F28" s="1" t="str">
        <x:v>Aïcha Adé</x:v>
      </x:c>
      <x:c r="G28" s="1" t="str">
        <x:v>Livrée</x:v>
      </x:c>
      <x:c r="H28" s="1" t="str">
        <x:v>TOU-005</x:v>
      </x:c>
    </x:row>
    <x:row r="29" ht="25" customHeight="1">
      <x:c r="A29" s="1" t="str">
        <x:v>CMD-124</x:v>
      </x:c>
      <x:c r="B29" s="6" t="d">
        <x:v>2026-09-29T12:00:00.000Z</x:v>
      </x:c>
      <x:c r="C29" s="1" t="str">
        <x:v>CLI-012</x:v>
      </x:c>
      <x:c r="D29" s="1" t="str">
        <x:v>Chez Fati</x:v>
      </x:c>
      <x:c r="E29" s="1" t="str">
        <x:v>Akpakpa</x:v>
      </x:c>
      <x:c r="F29" s="1" t="str">
        <x:v>David Loko</x:v>
      </x:c>
      <x:c r="G29" s="1" t="str">
        <x:v>Livrée</x:v>
      </x:c>
      <x:c r="H29" s="1" t="str">
        <x:v>TOU-009</x:v>
      </x:c>
    </x:row>
    <x:row r="30" ht="25" customHeight="1">
      <x:c r="A30" s="1" t="str">
        <x:v>CMD-125</x:v>
      </x:c>
      <x:c r="B30" s="6" t="d">
        <x:v>2026-09-30T12:00:00.000Z</x:v>
      </x:c>
      <x:c r="C30" s="1" t="str">
        <x:v>CLI-001</x:v>
      </x:c>
      <x:c r="D30" s="1" t="str">
        <x:v>Mariam Sanni</x:v>
      </x:c>
      <x:c r="E30" s="1" t="str">
        <x:v>Cadjèhoun</x:v>
      </x:c>
      <x:c r="F30" s="1" t="str">
        <x:v>Joël Dossou</x:v>
      </x:c>
      <x:c r="G30" s="1" t="str">
        <x:v>Livrée</x:v>
      </x:c>
      <x:c r="H30" s="1" t="str">
        <x:v>TOU-010</x:v>
      </x:c>
    </x:row>
    <x:row r="31" ht="25" customHeight="1">
      <x:c r="A31" s="1" t="str">
        <x:v>CMD-126</x:v>
      </x:c>
      <x:c r="B31" s="6" t="d">
        <x:v>2026-10-01T12:00:00.000Z</x:v>
      </x:c>
      <x:c r="C31" s="1" t="str">
        <x:v>CLI-002</x:v>
      </x:c>
      <x:c r="D31" s="1" t="str">
        <x:v>Boutique Éclat</x:v>
      </x:c>
      <x:c r="E31" s="1" t="str">
        <x:v>Ganhi</x:v>
      </x:c>
      <x:c r="F31" s="1" t="str">
        <x:v>Aïcha Adé</x:v>
      </x:c>
      <x:c r="G31" s="1" t="str">
        <x:v>Livrée</x:v>
      </x:c>
      <x:c r="H31" s="1" t="str">
        <x:v>TOU-014</x:v>
      </x:c>
    </x:row>
    <x:row r="32" ht="25" customHeight="1">
      <x:c r="A32" s="1" t="str">
        <x:v>CMD-127</x:v>
      </x:c>
      <x:c r="B32" s="6" t="d">
        <x:v>2026-10-02T12:00:00.000Z</x:v>
      </x:c>
      <x:c r="C32" s="1" t="str">
        <x:v>CLI-003</x:v>
      </x:c>
      <x:c r="D32" s="1" t="str">
        <x:v>Maison Kora</x:v>
      </x:c>
      <x:c r="E32" s="1" t="str">
        <x:v>Akpakpa</x:v>
      </x:c>
      <x:c r="F32" s="1" t="str">
        <x:v>David Loko</x:v>
      </x:c>
      <x:c r="G32" s="1" t="str">
        <x:v>Livrée</x:v>
      </x:c>
      <x:c r="H32" s="1" t="str">
        <x:v>TOU-018</x:v>
      </x:c>
    </x:row>
    <x:row r="33" ht="25" customHeight="1">
      <x:c r="A33" s="1" t="str">
        <x:v>CMD-128</x:v>
      </x:c>
      <x:c r="B33" s="6" t="d">
        <x:v>2026-10-03T12:00:00.000Z</x:v>
      </x:c>
      <x:c r="C33" s="1" t="str">
        <x:v>CLI-004</x:v>
      </x:c>
      <x:c r="D33" s="1" t="str">
        <x:v>Grâce Dossou</x:v>
      </x:c>
      <x:c r="E33" s="1" t="str">
        <x:v>Cadjèhoun</x:v>
      </x:c>
      <x:c r="F33" s="1" t="str">
        <x:v>Joël Dossou</x:v>
      </x:c>
      <x:c r="G33" s="1" t="str">
        <x:v>En cours</x:v>
      </x:c>
      <x:c r="H33" s="1" t="str">
        <x:v>TOU-019</x:v>
      </x:c>
    </x:row>
    <x:row r="34" ht="25" customHeight="1">
      <x:c r="A34" s="1" t="str">
        <x:v>CMD-129</x:v>
      </x:c>
      <x:c r="B34" s="6" t="d">
        <x:v>2026-09-27T12:00:00.000Z</x:v>
      </x:c>
      <x:c r="C34" s="1" t="str">
        <x:v>CLI-005</x:v>
      </x:c>
      <x:c r="D34" s="1" t="str">
        <x:v>Atelier Mawu</x:v>
      </x:c>
      <x:c r="E34" s="1" t="str">
        <x:v>Ganhi</x:v>
      </x:c>
      <x:c r="F34" s="1" t="str">
        <x:v>Aïcha Adé</x:v>
      </x:c>
      <x:c r="G34" s="1" t="str">
        <x:v>Annulée</x:v>
      </x:c>
      <x:c r="H34" s="1" t="str">
        <x:v>TOU-002</x:v>
      </x:c>
    </x:row>
    <x:row r="35" ht="25" customHeight="1">
      <x:c r="A35" s="1" t="str">
        <x:v>CMD-130</x:v>
      </x:c>
      <x:c r="B35" s="6" t="d">
        <x:v>2026-09-28T12:00:00.000Z</x:v>
      </x:c>
      <x:c r="C35" s="1" t="str">
        <x:v>CLI-006</x:v>
      </x:c>
      <x:c r="D35" s="1" t="str">
        <x:v>Épicerie Naya</x:v>
      </x:c>
      <x:c r="E35" s="1" t="str">
        <x:v>Akpakpa</x:v>
      </x:c>
      <x:c r="F35" s="1" t="str">
        <x:v>David Loko</x:v>
      </x:c>
      <x:c r="G35" s="1" t="str">
        <x:v>Livrée</x:v>
      </x:c>
      <x:c r="H35" s="1" t="str">
        <x:v>TOU-006</x:v>
      </x:c>
    </x:row>
    <x:row r="36" ht="25" customHeight="1">
      <x:c r="A36" s="1" t="str">
        <x:v>CMD-131</x:v>
      </x:c>
      <x:c r="B36" s="6" t="d">
        <x:v>2026-09-29T12:00:00.000Z</x:v>
      </x:c>
      <x:c r="C36" s="1" t="str">
        <x:v>CLI-007</x:v>
      </x:c>
      <x:c r="D36" s="1" t="str">
        <x:v>Aline Hounkpe</x:v>
      </x:c>
      <x:c r="E36" s="1" t="str">
        <x:v>Cadjèhoun</x:v>
      </x:c>
      <x:c r="F36" s="1" t="str">
        <x:v>Joël Dossou</x:v>
      </x:c>
      <x:c r="G36" s="1" t="str">
        <x:v>Livrée</x:v>
      </x:c>
      <x:c r="H36" s="1" t="str">
        <x:v>TOU-007</x:v>
      </x:c>
    </x:row>
    <x:row r="37" ht="25" customHeight="1">
      <x:c r="A37" s="1" t="str">
        <x:v>CMD-132</x:v>
      </x:c>
      <x:c r="B37" s="6" t="d">
        <x:v>2026-09-30T12:00:00.000Z</x:v>
      </x:c>
      <x:c r="C37" s="1" t="str">
        <x:v>CLI-008</x:v>
      </x:c>
      <x:c r="D37" s="1" t="str">
        <x:v>Sika Mode</x:v>
      </x:c>
      <x:c r="E37" s="1" t="str">
        <x:v>Ganhi</x:v>
      </x:c>
      <x:c r="F37" s="1" t="str">
        <x:v>Aïcha Adé</x:v>
      </x:c>
      <x:c r="G37" s="1" t="str">
        <x:v>Livrée</x:v>
      </x:c>
      <x:c r="H37" s="1" t="str">
        <x:v>TOU-011</x:v>
      </x:c>
    </x:row>
    <x:row r="38" ht="25" customHeight="1">
      <x:c r="A38" s="1" t="str">
        <x:v>CMD-133</x:v>
      </x:c>
      <x:c r="B38" s="6" t="d">
        <x:v>2026-10-01T12:00:00.000Z</x:v>
      </x:c>
      <x:c r="C38" s="1" t="str">
        <x:v>CLI-009</x:v>
      </x:c>
      <x:c r="D38" s="1" t="str">
        <x:v>Paul Agbo</x:v>
      </x:c>
      <x:c r="E38" s="1" t="str">
        <x:v>Akpakpa</x:v>
      </x:c>
      <x:c r="F38" s="1" t="str">
        <x:v>David Loko</x:v>
      </x:c>
      <x:c r="G38" s="1" t="str">
        <x:v>Livrée</x:v>
      </x:c>
      <x:c r="H38" s="1" t="str">
        <x:v>TOU-015</x:v>
      </x:c>
    </x:row>
    <x:row r="39" ht="25" customHeight="1">
      <x:c r="A39" s="1" t="str">
        <x:v>CMD-134</x:v>
      </x:c>
      <x:c r="B39" s="6" t="d">
        <x:v>2026-10-02T12:00:00.000Z</x:v>
      </x:c>
      <x:c r="C39" s="1" t="str">
        <x:v>CLI-010</x:v>
      </x:c>
      <x:c r="D39" s="1" t="str">
        <x:v>Comptoir Léo</x:v>
      </x:c>
      <x:c r="E39" s="1" t="str">
        <x:v>Cadjèhoun</x:v>
      </x:c>
      <x:c r="F39" s="1" t="str">
        <x:v>Joël Dossou</x:v>
      </x:c>
      <x:c r="G39" s="1" t="str">
        <x:v>Livrée</x:v>
      </x:c>
      <x:c r="H39" s="1" t="str">
        <x:v>TOU-016</x:v>
      </x:c>
    </x:row>
    <x:row r="40" ht="25" customHeight="1">
      <x:c r="A40" s="1" t="str">
        <x:v>CMD-135</x:v>
      </x:c>
      <x:c r="B40" s="6" t="d">
        <x:v>2026-10-03T12:00:00.000Z</x:v>
      </x:c>
      <x:c r="C40" s="1" t="str">
        <x:v>CLI-011</x:v>
      </x:c>
      <x:c r="D40" s="1" t="str">
        <x:v>Rose Adé</x:v>
      </x:c>
      <x:c r="E40" s="1" t="str">
        <x:v>Ganhi</x:v>
      </x:c>
      <x:c r="F40" s="1" t="str">
        <x:v>Aïcha Adé</x:v>
      </x:c>
      <x:c r="G40" s="1" t="str">
        <x:v>Livrée</x:v>
      </x:c>
      <x:c r="H40" s="1" t="str">
        <x:v>TOU-020</x:v>
      </x:c>
    </x:row>
    <x:row r="41" ht="25" customHeight="1">
      <x:c r="A41" s="1" t="str">
        <x:v>CMD-136</x:v>
      </x:c>
      <x:c r="B41" s="6" t="d">
        <x:v>2026-09-27T12:00:00.000Z</x:v>
      </x:c>
      <x:c r="C41" s="1" t="str">
        <x:v>CLI-012</x:v>
      </x:c>
      <x:c r="D41" s="1" t="str">
        <x:v>Chez Fati</x:v>
      </x:c>
      <x:c r="E41" s="1" t="str">
        <x:v>Akpakpa</x:v>
      </x:c>
      <x:c r="F41" s="1" t="str">
        <x:v>David Loko</x:v>
      </x:c>
      <x:c r="G41" s="1" t="str">
        <x:v>Livrée</x:v>
      </x:c>
      <x:c r="H41" s="1" t="str">
        <x:v>TOU-003</x:v>
      </x:c>
    </x:row>
    <x:row r="42" ht="25" customHeight="1">
      <x:c r="A42" s="1"/>
      <x:c r="B42" s="1"/>
      <x:c r="C42" s="1"/>
      <x:c r="D42" s="1"/>
      <x:c r="E42" s="1"/>
      <x:c r="F42" s="1"/>
      <x:c r="G42" s="1"/>
      <x:c r="H42" s="1"/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4ddbe8fff204dd0"/>
  </x:tableParts>
</x:worksheet>
</file>

<file path=xl/worksheets/sheet3.xml><?xml version="1.0" encoding="utf-8"?>
<x:worksheet xmlns:x="http://schemas.openxmlformats.org/spreadsheetml/2006/main">
  <x:sheetPr>
    <x:tabColor rgb="FF6C8C8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25" customHeight="1">
      <x:c r="A2" s="2" t="str">
        <x:v>TRAXO · Tournées</x:v>
      </x:c>
      <x:c r="B2" s="1"/>
      <x:c r="C2" s="1"/>
      <x:c r="D2" s="1"/>
      <x:c r="E2" s="1"/>
      <x:c r="F2" s="1"/>
      <x:c r="G2" s="1"/>
    </x:row>
    <x:row r="3" ht="25" customHeight="1">
      <x:c r="A3" s="3" t="str">
        <x:v>Données fictives · 27 septembre – 3 octobre 2026</x:v>
      </x:c>
      <x:c r="B3" s="1"/>
      <x:c r="C3" s="1"/>
      <x:c r="D3" s="1"/>
      <x:c r="E3" s="1"/>
      <x:c r="F3" s="1"/>
      <x:c r="G3" s="1"/>
    </x:row>
    <x:row r="4" ht="25" customHeight="1">
      <x:c r="A4" s="1"/>
      <x:c r="B4" s="1"/>
      <x:c r="C4" s="1"/>
      <x:c r="D4" s="1"/>
      <x:c r="E4" s="1"/>
      <x:c r="F4" s="1"/>
      <x:c r="G4" s="1"/>
    </x:row>
    <x:row r="5" ht="30" customHeight="1">
      <x:c r="A5" s="5" t="str">
        <x:v>Tournée</x:v>
      </x:c>
      <x:c r="B5" s="5" t="str">
        <x:v>Date</x:v>
      </x:c>
      <x:c r="C5" s="5" t="str">
        <x:v>Livreur</x:v>
      </x:c>
      <x:c r="D5" s="5" t="str">
        <x:v>Zone</x:v>
      </x:c>
      <x:c r="E5" s="5" t="str">
        <x:v>Statut</x:v>
      </x:c>
      <x:c r="F5" s="5" t="str">
        <x:v>Arrêts</x:v>
      </x:c>
      <x:c r="G5" s="5" t="str">
        <x:v>Livrées</x:v>
      </x:c>
    </x:row>
    <x:row r="6" ht="25" customHeight="1">
      <x:c r="A6" s="1" t="str">
        <x:v>TOU-001</x:v>
      </x:c>
      <x:c r="B6" s="6" t="d">
        <x:v>2026-09-27T12:00:00.000Z</x:v>
      </x:c>
      <x:c r="C6" s="1" t="str">
        <x:v>Joël Dossou</x:v>
      </x:c>
      <x:c r="D6" s="1" t="str">
        <x:v>Cadjèhoun</x:v>
      </x:c>
      <x:c r="E6" s="1" t="str">
        <x:v>En cours</x:v>
      </x:c>
      <x:c r="F6" s="1" t="n">
        <x:v>2</x:v>
      </x:c>
      <x:c r="G6" s="1" t="n">
        <x:v>1</x:v>
      </x:c>
    </x:row>
    <x:row r="7" ht="25" customHeight="1">
      <x:c r="A7" s="1" t="str">
        <x:v>TOU-002</x:v>
      </x:c>
      <x:c r="B7" s="6" t="d">
        <x:v>2026-09-27T12:00:00.000Z</x:v>
      </x:c>
      <x:c r="C7" s="1" t="str">
        <x:v>Aïcha Adé</x:v>
      </x:c>
      <x:c r="D7" s="1" t="str">
        <x:v>Ganhi</x:v>
      </x:c>
      <x:c r="E7" s="1" t="str">
        <x:v>Terminée</x:v>
      </x:c>
      <x:c r="F7" s="1" t="n">
        <x:v>2</x:v>
      </x:c>
      <x:c r="G7" s="1" t="n">
        <x:v>1</x:v>
      </x:c>
    </x:row>
    <x:row r="8" ht="25" customHeight="1">
      <x:c r="A8" s="1" t="str">
        <x:v>TOU-003</x:v>
      </x:c>
      <x:c r="B8" s="6" t="d">
        <x:v>2026-09-27T12:00:00.000Z</x:v>
      </x:c>
      <x:c r="C8" s="1" t="str">
        <x:v>David Loko</x:v>
      </x:c>
      <x:c r="D8" s="1" t="str">
        <x:v>Akpakpa</x:v>
      </x:c>
      <x:c r="E8" s="1" t="str">
        <x:v>Terminée</x:v>
      </x:c>
      <x:c r="F8" s="1" t="n">
        <x:v>2</x:v>
      </x:c>
      <x:c r="G8" s="1" t="n">
        <x:v>2</x:v>
      </x:c>
    </x:row>
    <x:row r="9" ht="25" customHeight="1">
      <x:c r="A9" s="1" t="str">
        <x:v>TOU-004</x:v>
      </x:c>
      <x:c r="B9" s="6" t="d">
        <x:v>2026-09-28T12:00:00.000Z</x:v>
      </x:c>
      <x:c r="C9" s="1" t="str">
        <x:v>Joël Dossou</x:v>
      </x:c>
      <x:c r="D9" s="1" t="str">
        <x:v>Cadjèhoun</x:v>
      </x:c>
      <x:c r="E9" s="1" t="str">
        <x:v>Terminée</x:v>
      </x:c>
      <x:c r="F9" s="1" t="n">
        <x:v>1</x:v>
      </x:c>
      <x:c r="G9" s="1" t="n">
        <x:v>1</x:v>
      </x:c>
    </x:row>
    <x:row r="10" ht="25" customHeight="1">
      <x:c r="A10" s="1" t="str">
        <x:v>TOU-005</x:v>
      </x:c>
      <x:c r="B10" s="6" t="d">
        <x:v>2026-09-28T12:00:00.000Z</x:v>
      </x:c>
      <x:c r="C10" s="1" t="str">
        <x:v>Aïcha Adé</x:v>
      </x:c>
      <x:c r="D10" s="1" t="str">
        <x:v>Ganhi</x:v>
      </x:c>
      <x:c r="E10" s="1" t="str">
        <x:v>Terminée</x:v>
      </x:c>
      <x:c r="F10" s="1" t="n">
        <x:v>2</x:v>
      </x:c>
      <x:c r="G10" s="1" t="n">
        <x:v>1</x:v>
      </x:c>
    </x:row>
    <x:row r="11" ht="25" customHeight="1">
      <x:c r="A11" s="1" t="str">
        <x:v>TOU-006</x:v>
      </x:c>
      <x:c r="B11" s="6" t="d">
        <x:v>2026-09-28T12:00:00.000Z</x:v>
      </x:c>
      <x:c r="C11" s="1" t="str">
        <x:v>David Loko</x:v>
      </x:c>
      <x:c r="D11" s="1" t="str">
        <x:v>Akpakpa</x:v>
      </x:c>
      <x:c r="E11" s="1" t="str">
        <x:v>Terminée</x:v>
      </x:c>
      <x:c r="F11" s="1" t="n">
        <x:v>2</x:v>
      </x:c>
      <x:c r="G11" s="1" t="n">
        <x:v>2</x:v>
      </x:c>
    </x:row>
    <x:row r="12" ht="25" customHeight="1">
      <x:c r="A12" s="1" t="str">
        <x:v>TOU-007</x:v>
      </x:c>
      <x:c r="B12" s="6" t="d">
        <x:v>2026-09-29T12:00:00.000Z</x:v>
      </x:c>
      <x:c r="C12" s="1" t="str">
        <x:v>Joël Dossou</x:v>
      </x:c>
      <x:c r="D12" s="1" t="str">
        <x:v>Cadjèhoun</x:v>
      </x:c>
      <x:c r="E12" s="1" t="str">
        <x:v>En cours</x:v>
      </x:c>
      <x:c r="F12" s="1" t="n">
        <x:v>2</x:v>
      </x:c>
      <x:c r="G12" s="1" t="n">
        <x:v>1</x:v>
      </x:c>
    </x:row>
    <x:row r="13" ht="25" customHeight="1">
      <x:c r="A13" s="1" t="str">
        <x:v>TOU-008</x:v>
      </x:c>
      <x:c r="B13" s="6" t="d">
        <x:v>2026-09-29T12:00:00.000Z</x:v>
      </x:c>
      <x:c r="C13" s="1" t="str">
        <x:v>Aïcha Adé</x:v>
      </x:c>
      <x:c r="D13" s="1" t="str">
        <x:v>Ganhi</x:v>
      </x:c>
      <x:c r="E13" s="1" t="str">
        <x:v>Terminée</x:v>
      </x:c>
      <x:c r="F13" s="1" t="n">
        <x:v>1</x:v>
      </x:c>
      <x:c r="G13" s="1" t="n">
        <x:v>1</x:v>
      </x:c>
    </x:row>
    <x:row r="14" ht="25" customHeight="1">
      <x:c r="A14" s="1" t="str">
        <x:v>TOU-009</x:v>
      </x:c>
      <x:c r="B14" s="6" t="d">
        <x:v>2026-09-29T12:00:00.000Z</x:v>
      </x:c>
      <x:c r="C14" s="1" t="str">
        <x:v>David Loko</x:v>
      </x:c>
      <x:c r="D14" s="1" t="str">
        <x:v>Akpakpa</x:v>
      </x:c>
      <x:c r="E14" s="1" t="str">
        <x:v>Terminée</x:v>
      </x:c>
      <x:c r="F14" s="1" t="n">
        <x:v>2</x:v>
      </x:c>
      <x:c r="G14" s="1" t="n">
        <x:v>2</x:v>
      </x:c>
    </x:row>
    <x:row r="15" ht="25" customHeight="1">
      <x:c r="A15" s="1" t="str">
        <x:v>TOU-010</x:v>
      </x:c>
      <x:c r="B15" s="6" t="d">
        <x:v>2026-09-30T12:00:00.000Z</x:v>
      </x:c>
      <x:c r="C15" s="1" t="str">
        <x:v>Joël Dossou</x:v>
      </x:c>
      <x:c r="D15" s="1" t="str">
        <x:v>Cadjèhoun</x:v>
      </x:c>
      <x:c r="E15" s="1" t="str">
        <x:v>Terminée</x:v>
      </x:c>
      <x:c r="F15" s="1" t="n">
        <x:v>2</x:v>
      </x:c>
      <x:c r="G15" s="1" t="n">
        <x:v>2</x:v>
      </x:c>
    </x:row>
    <x:row r="16" ht="25" customHeight="1">
      <x:c r="A16" s="1" t="str">
        <x:v>TOU-011</x:v>
      </x:c>
      <x:c r="B16" s="6" t="d">
        <x:v>2026-09-30T12:00:00.000Z</x:v>
      </x:c>
      <x:c r="C16" s="1" t="str">
        <x:v>Aïcha Adé</x:v>
      </x:c>
      <x:c r="D16" s="1" t="str">
        <x:v>Ganhi</x:v>
      </x:c>
      <x:c r="E16" s="1" t="str">
        <x:v>Terminée</x:v>
      </x:c>
      <x:c r="F16" s="1" t="n">
        <x:v>2</x:v>
      </x:c>
      <x:c r="G16" s="1" t="n">
        <x:v>1</x:v>
      </x:c>
    </x:row>
    <x:row r="17" ht="25" customHeight="1">
      <x:c r="A17" s="1" t="str">
        <x:v>TOU-012</x:v>
      </x:c>
      <x:c r="B17" s="6" t="d">
        <x:v>2026-09-30T12:00:00.000Z</x:v>
      </x:c>
      <x:c r="C17" s="1" t="str">
        <x:v>David Loko</x:v>
      </x:c>
      <x:c r="D17" s="1" t="str">
        <x:v>Akpakpa</x:v>
      </x:c>
      <x:c r="E17" s="1" t="str">
        <x:v>Terminée</x:v>
      </x:c>
      <x:c r="F17" s="1" t="n">
        <x:v>1</x:v>
      </x:c>
      <x:c r="G17" s="1" t="n">
        <x:v>1</x:v>
      </x:c>
    </x:row>
    <x:row r="18" ht="25" customHeight="1">
      <x:c r="A18" s="1" t="str">
        <x:v>TOU-013</x:v>
      </x:c>
      <x:c r="B18" s="6" t="d">
        <x:v>2026-10-01T12:00:00.000Z</x:v>
      </x:c>
      <x:c r="C18" s="1" t="str">
        <x:v>Joël Dossou</x:v>
      </x:c>
      <x:c r="D18" s="1" t="str">
        <x:v>Cadjèhoun</x:v>
      </x:c>
      <x:c r="E18" s="1" t="str">
        <x:v>En cours</x:v>
      </x:c>
      <x:c r="F18" s="1" t="n">
        <x:v>1</x:v>
      </x:c>
      <x:c r="G18" s="1" t="n">
        <x:v>0</x:v>
      </x:c>
    </x:row>
    <x:row r="19" ht="25" customHeight="1">
      <x:c r="A19" s="1" t="str">
        <x:v>TOU-014</x:v>
      </x:c>
      <x:c r="B19" s="6" t="d">
        <x:v>2026-10-01T12:00:00.000Z</x:v>
      </x:c>
      <x:c r="C19" s="1" t="str">
        <x:v>Aïcha Adé</x:v>
      </x:c>
      <x:c r="D19" s="1" t="str">
        <x:v>Ganhi</x:v>
      </x:c>
      <x:c r="E19" s="1" t="str">
        <x:v>Terminée</x:v>
      </x:c>
      <x:c r="F19" s="1" t="n">
        <x:v>2</x:v>
      </x:c>
      <x:c r="G19" s="1" t="n">
        <x:v>2</x:v>
      </x:c>
    </x:row>
    <x:row r="20" ht="25" customHeight="1">
      <x:c r="A20" s="1" t="str">
        <x:v>TOU-015</x:v>
      </x:c>
      <x:c r="B20" s="6" t="d">
        <x:v>2026-10-01T12:00:00.000Z</x:v>
      </x:c>
      <x:c r="C20" s="1" t="str">
        <x:v>David Loko</x:v>
      </x:c>
      <x:c r="D20" s="1" t="str">
        <x:v>Akpakpa</x:v>
      </x:c>
      <x:c r="E20" s="1" t="str">
        <x:v>Terminée</x:v>
      </x:c>
      <x:c r="F20" s="1" t="n">
        <x:v>2</x:v>
      </x:c>
      <x:c r="G20" s="1" t="n">
        <x:v>2</x:v>
      </x:c>
    </x:row>
    <x:row r="21" ht="25" customHeight="1">
      <x:c r="A21" s="1" t="str">
        <x:v>TOU-016</x:v>
      </x:c>
      <x:c r="B21" s="6" t="d">
        <x:v>2026-10-02T12:00:00.000Z</x:v>
      </x:c>
      <x:c r="C21" s="1" t="str">
        <x:v>Joël Dossou</x:v>
      </x:c>
      <x:c r="D21" s="1" t="str">
        <x:v>Cadjèhoun</x:v>
      </x:c>
      <x:c r="E21" s="1" t="str">
        <x:v>Terminée</x:v>
      </x:c>
      <x:c r="F21" s="1" t="n">
        <x:v>2</x:v>
      </x:c>
      <x:c r="G21" s="1" t="n">
        <x:v>2</x:v>
      </x:c>
    </x:row>
    <x:row r="22" ht="25" customHeight="1">
      <x:c r="A22" s="1" t="str">
        <x:v>TOU-017</x:v>
      </x:c>
      <x:c r="B22" s="6" t="d">
        <x:v>2026-10-02T12:00:00.000Z</x:v>
      </x:c>
      <x:c r="C22" s="1" t="str">
        <x:v>Aïcha Adé</x:v>
      </x:c>
      <x:c r="D22" s="1" t="str">
        <x:v>Ganhi</x:v>
      </x:c>
      <x:c r="E22" s="1" t="str">
        <x:v>Terminée</x:v>
      </x:c>
      <x:c r="F22" s="1" t="n">
        <x:v>1</x:v>
      </x:c>
      <x:c r="G22" s="1" t="n">
        <x:v>0</x:v>
      </x:c>
    </x:row>
    <x:row r="23" ht="25" customHeight="1">
      <x:c r="A23" s="1" t="str">
        <x:v>TOU-018</x:v>
      </x:c>
      <x:c r="B23" s="6" t="d">
        <x:v>2026-10-02T12:00:00.000Z</x:v>
      </x:c>
      <x:c r="C23" s="1" t="str">
        <x:v>David Loko</x:v>
      </x:c>
      <x:c r="D23" s="1" t="str">
        <x:v>Akpakpa</x:v>
      </x:c>
      <x:c r="E23" s="1" t="str">
        <x:v>Terminée</x:v>
      </x:c>
      <x:c r="F23" s="1" t="n">
        <x:v>2</x:v>
      </x:c>
      <x:c r="G23" s="1" t="n">
        <x:v>2</x:v>
      </x:c>
    </x:row>
    <x:row r="24" ht="25" customHeight="1">
      <x:c r="A24" s="1" t="str">
        <x:v>TOU-019</x:v>
      </x:c>
      <x:c r="B24" s="6" t="d">
        <x:v>2026-10-03T12:00:00.000Z</x:v>
      </x:c>
      <x:c r="C24" s="1" t="str">
        <x:v>Joël Dossou</x:v>
      </x:c>
      <x:c r="D24" s="1" t="str">
        <x:v>Cadjèhoun</x:v>
      </x:c>
      <x:c r="E24" s="1" t="str">
        <x:v>En cours</x:v>
      </x:c>
      <x:c r="F24" s="1" t="n">
        <x:v>2</x:v>
      </x:c>
      <x:c r="G24" s="1" t="n">
        <x:v>1</x:v>
      </x:c>
    </x:row>
    <x:row r="25" ht="25" customHeight="1">
      <x:c r="A25" s="1" t="str">
        <x:v>TOU-020</x:v>
      </x:c>
      <x:c r="B25" s="6" t="d">
        <x:v>2026-10-03T12:00:00.000Z</x:v>
      </x:c>
      <x:c r="C25" s="1" t="str">
        <x:v>Aïcha Adé</x:v>
      </x:c>
      <x:c r="D25" s="1" t="str">
        <x:v>Ganhi</x:v>
      </x:c>
      <x:c r="E25" s="1" t="str">
        <x:v>Terminée</x:v>
      </x:c>
      <x:c r="F25" s="1" t="n">
        <x:v>2</x:v>
      </x:c>
      <x:c r="G25" s="1" t="n">
        <x:v>2</x:v>
      </x:c>
    </x:row>
    <x:row r="26" ht="25" customHeight="1">
      <x:c r="A26" s="1" t="str">
        <x:v>TOU-021</x:v>
      </x:c>
      <x:c r="B26" s="6" t="d">
        <x:v>2026-10-03T12:00:00.000Z</x:v>
      </x:c>
      <x:c r="C26" s="1" t="str">
        <x:v>David Loko</x:v>
      </x:c>
      <x:c r="D26" s="1" t="str">
        <x:v>Akpakpa</x:v>
      </x:c>
      <x:c r="E26" s="1" t="str">
        <x:v>Terminée</x:v>
      </x:c>
      <x:c r="F26" s="1" t="n">
        <x:v>1</x:v>
      </x:c>
      <x:c r="G26" s="1" t="n">
        <x:v>1</x:v>
      </x:c>
    </x:row>
    <x:row r="27" ht="25" customHeight="1">
      <x:c r="A27" s="1"/>
      <x:c r="B27" s="1"/>
      <x:c r="C27" s="1"/>
      <x:c r="D27" s="1"/>
      <x:c r="E27" s="1"/>
      <x:c r="F27" s="1"/>
      <x:c r="G27" s="1"/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a66ceeb39bf94a6a"/>
  </x:tableParts>
</x:worksheet>
</file>

<file path=xl/worksheets/sheet4.xml><?xml version="1.0" encoding="utf-8"?>
<x:worksheet xmlns:x="http://schemas.openxmlformats.org/spreadsheetml/2006/main">
  <x:sheetPr>
    <x:tabColor rgb="FF6C8C8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8" hidden="0" customWidth="1"/>
    <x:col min="8" max="8" width="2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</x:row>
    <x:row r="2" ht="25" customHeight="1">
      <x:c r="A2" s="2" t="str">
        <x:v>TRAXO · Incidents</x:v>
      </x:c>
      <x:c r="B2" s="1"/>
      <x:c r="C2" s="1"/>
      <x:c r="D2" s="1"/>
      <x:c r="E2" s="1"/>
      <x:c r="F2" s="1"/>
      <x:c r="G2" s="1"/>
      <x:c r="H2" s="1"/>
    </x:row>
    <x:row r="3" ht="25" customHeight="1">
      <x:c r="A3" s="3" t="str">
        <x:v>Données fictives · 27 septembre – 3 octobre 2026</x:v>
      </x:c>
      <x:c r="B3" s="1"/>
      <x:c r="C3" s="1"/>
      <x:c r="D3" s="1"/>
      <x:c r="E3" s="1"/>
      <x:c r="F3" s="1"/>
      <x:c r="G3" s="1"/>
      <x:c r="H3" s="1"/>
    </x:row>
    <x:row r="4" ht="25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5" t="str">
        <x:v>Incident</x:v>
      </x:c>
      <x:c r="B5" s="5" t="str">
        <x:v>Date</x:v>
      </x:c>
      <x:c r="C5" s="5" t="str">
        <x:v>Commande</x:v>
      </x:c>
      <x:c r="D5" s="5" t="str">
        <x:v>ID client</x:v>
      </x:c>
      <x:c r="E5" s="5" t="str">
        <x:v>Zone</x:v>
      </x:c>
      <x:c r="F5" s="5" t="str">
        <x:v>Livreur</x:v>
      </x:c>
      <x:c r="G5" s="5" t="str">
        <x:v>Motif</x:v>
      </x:c>
      <x:c r="H5" s="5" t="str">
        <x:v>Statut</x:v>
      </x:c>
    </x:row>
    <x:row r="6" ht="25" customHeight="1">
      <x:c r="A6" s="1" t="str">
        <x:v>INC-001</x:v>
      </x:c>
      <x:c r="B6" s="6" t="d">
        <x:v>2026-09-27T12:00:00.000Z</x:v>
      </x:c>
      <x:c r="C6" s="1" t="str">
        <x:v>CMD-101</x:v>
      </x:c>
      <x:c r="D6" s="1" t="str">
        <x:v>CLI-001</x:v>
      </x:c>
      <x:c r="E6" s="1" t="str">
        <x:v>Cadjèhoun</x:v>
      </x:c>
      <x:c r="F6" s="1" t="str">
        <x:v>Joël Dossou</x:v>
      </x:c>
      <x:c r="G6" s="1" t="str">
        <x:v>Client injoignable</x:v>
      </x:c>
      <x:c r="H6" s="1" t="str">
        <x:v>À traiter</x:v>
      </x:c>
    </x:row>
    <x:row r="7" ht="25" customHeight="1">
      <x:c r="A7" s="1" t="str">
        <x:v>INC-002</x:v>
      </x:c>
      <x:c r="B7" s="6" t="d">
        <x:v>2026-09-27T12:00:00.000Z</x:v>
      </x:c>
      <x:c r="C7" s="1" t="str">
        <x:v>CMD-108</x:v>
      </x:c>
      <x:c r="D7" s="1" t="str">
        <x:v>CLI-008</x:v>
      </x:c>
      <x:c r="E7" s="1" t="str">
        <x:v>Ganhi</x:v>
      </x:c>
      <x:c r="F7" s="1" t="str">
        <x:v>Aïcha Adé</x:v>
      </x:c>
      <x:c r="G7" s="1" t="str">
        <x:v>Adresse à vérifier</x:v>
      </x:c>
      <x:c r="H7" s="1" t="str">
        <x:v>Résolu</x:v>
      </x:c>
    </x:row>
    <x:row r="8" ht="25" customHeight="1">
      <x:c r="A8" s="1" t="str">
        <x:v>INC-003</x:v>
      </x:c>
      <x:c r="B8" s="6" t="d">
        <x:v>2026-09-30T12:00:00.000Z</x:v>
      </x:c>
      <x:c r="C8" s="1" t="str">
        <x:v>CMD-111</x:v>
      </x:c>
      <x:c r="D8" s="1" t="str">
        <x:v>CLI-011</x:v>
      </x:c>
      <x:c r="E8" s="1" t="str">
        <x:v>Ganhi</x:v>
      </x:c>
      <x:c r="F8" s="1" t="str">
        <x:v>Aïcha Adé</x:v>
      </x:c>
      <x:c r="G8" s="1" t="str">
        <x:v>Colis indisponible</x:v>
      </x:c>
      <x:c r="H8" s="1" t="str">
        <x:v>Résolu</x:v>
      </x:c>
    </x:row>
    <x:row r="9" ht="25" customHeight="1">
      <x:c r="A9" s="1" t="str">
        <x:v>INC-004</x:v>
      </x:c>
      <x:c r="B9" s="6" t="d">
        <x:v>2026-09-29T12:00:00.000Z</x:v>
      </x:c>
      <x:c r="C9" s="1" t="str">
        <x:v>CMD-117</x:v>
      </x:c>
      <x:c r="D9" s="1" t="str">
        <x:v>CLI-005</x:v>
      </x:c>
      <x:c r="E9" s="1" t="str">
        <x:v>Ganhi</x:v>
      </x:c>
      <x:c r="F9" s="1" t="str">
        <x:v>Aïcha Adé</x:v>
      </x:c>
      <x:c r="G9" s="1" t="str">
        <x:v>Client injoignable</x:v>
      </x:c>
      <x:c r="H9" s="1" t="str">
        <x:v>À traiter</x:v>
      </x:c>
    </x:row>
    <x:row r="10" ht="25" customHeight="1">
      <x:c r="A10" s="1" t="str">
        <x:v>INC-005</x:v>
      </x:c>
      <x:c r="B10" s="6" t="d">
        <x:v>2026-09-28T12:00:00.000Z</x:v>
      </x:c>
      <x:c r="C10" s="1" t="str">
        <x:v>CMD-123</x:v>
      </x:c>
      <x:c r="D10" s="1" t="str">
        <x:v>CLI-011</x:v>
      </x:c>
      <x:c r="E10" s="1" t="str">
        <x:v>Ganhi</x:v>
      </x:c>
      <x:c r="F10" s="1" t="str">
        <x:v>Aïcha Adé</x:v>
      </x:c>
      <x:c r="G10" s="1" t="str">
        <x:v>Adresse à vérifier</x:v>
      </x:c>
      <x:c r="H10" s="1" t="str">
        <x:v>Résolu</x:v>
      </x:c>
    </x:row>
    <x:row r="11" ht="25" customHeight="1">
      <x:c r="A11" s="1" t="str">
        <x:v>INC-006</x:v>
      </x:c>
      <x:c r="B11" s="6" t="d">
        <x:v>2026-09-27T12:00:00.000Z</x:v>
      </x:c>
      <x:c r="C11" s="1" t="str">
        <x:v>CMD-129</x:v>
      </x:c>
      <x:c r="D11" s="1" t="str">
        <x:v>CLI-005</x:v>
      </x:c>
      <x:c r="E11" s="1" t="str">
        <x:v>Ganhi</x:v>
      </x:c>
      <x:c r="F11" s="1" t="str">
        <x:v>Aïcha Adé</x:v>
      </x:c>
      <x:c r="G11" s="1" t="str">
        <x:v>Colis indisponible</x:v>
      </x:c>
      <x:c r="H11" s="1" t="str">
        <x:v>Résolu</x:v>
      </x:c>
    </x:row>
    <x:row r="12" ht="25" customHeight="1">
      <x:c r="A12" s="1" t="str">
        <x:v>INC-007</x:v>
      </x:c>
      <x:c r="B12" s="6" t="d">
        <x:v>2026-09-27T12:00:00.000Z</x:v>
      </x:c>
      <x:c r="C12" s="1" t="str">
        <x:v>CMD-136</x:v>
      </x:c>
      <x:c r="D12" s="1" t="str">
        <x:v>CLI-012</x:v>
      </x:c>
      <x:c r="E12" s="1" t="str">
        <x:v>Akpakpa</x:v>
      </x:c>
      <x:c r="F12" s="1" t="str">
        <x:v>David Loko</x:v>
      </x:c>
      <x:c r="G12" s="1" t="str">
        <x:v>Client injoignable</x:v>
      </x:c>
      <x:c r="H12" s="1" t="str">
        <x:v>À traiter</x:v>
      </x:c>
    </x:row>
    <x:row r="13" ht="25" customHeight="1">
      <x:c r="A13" s="1"/>
      <x:c r="B13" s="1"/>
      <x:c r="C13" s="1"/>
      <x:c r="D13" s="1"/>
      <x:c r="E13" s="1"/>
      <x:c r="F13" s="1"/>
      <x:c r="G13" s="1"/>
      <x:c r="H13" s="1"/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3bab209945649af"/>
  </x:tableParts>
</x:worksheet>
</file>

<file path=xl/worksheets/sheet5.xml><?xml version="1.0" encoding="utf-8"?>
<x:worksheet xmlns:x="http://schemas.openxmlformats.org/spreadsheetml/2006/main">
  <x:sheetPr>
    <x:tabColor rgb="FF6C8C8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2" t="str">
        <x:v>TRAXO · Clients</x:v>
      </x:c>
      <x:c r="B2" s="1"/>
      <x:c r="C2" s="1"/>
      <x:c r="D2" s="1"/>
      <x:c r="E2" s="1"/>
      <x:c r="F2" s="1"/>
    </x:row>
    <x:row r="3" ht="25" customHeight="1">
      <x:c r="A3" s="3" t="str">
        <x:v>Données fictives · 27 septembre – 3 octobre 2026</x:v>
      </x:c>
      <x:c r="B3" s="1"/>
      <x:c r="C3" s="1"/>
      <x:c r="D3" s="1"/>
      <x:c r="E3" s="1"/>
      <x:c r="F3" s="1"/>
    </x:row>
    <x:row r="4" ht="25" customHeight="1">
      <x:c r="A4" s="1"/>
      <x:c r="B4" s="1"/>
      <x:c r="C4" s="1"/>
      <x:c r="D4" s="1"/>
      <x:c r="E4" s="1"/>
      <x:c r="F4" s="1"/>
    </x:row>
    <x:row r="5" ht="30" customHeight="1">
      <x:c r="A5" s="5" t="str">
        <x:v>ID client</x:v>
      </x:c>
      <x:c r="B5" s="5" t="str">
        <x:v>Client</x:v>
      </x:c>
      <x:c r="C5" s="5" t="str">
        <x:v>Zone</x:v>
      </x:c>
      <x:c r="D5" s="5" t="str">
        <x:v>Commandes</x:v>
      </x:c>
      <x:c r="E5" s="5" t="str">
        <x:v>Livrées</x:v>
      </x:c>
      <x:c r="F5" s="5" t="str">
        <x:v>Part livrée</x:v>
      </x:c>
    </x:row>
    <x:row r="6" ht="25" customHeight="1">
      <x:c r="A6" s="1" t="str">
        <x:v>CLI-001</x:v>
      </x:c>
      <x:c r="B6" s="1" t="str">
        <x:v>Mariam Sanni</x:v>
      </x:c>
      <x:c r="C6" s="1" t="str">
        <x:v>Cadjèhoun</x:v>
      </x:c>
      <x:c r="D6" s="1" t="n">
        <x:f>COUNTIFS(Commandes!$C$6:$C$1041,A6)</x:f>
        <x:v>3</x:v>
      </x:c>
      <x:c r="E6" s="1" t="n">
        <x:f>COUNTIFS(Commandes!$C$6:$C$1041,A6,Commandes!$G$6:$G$1041,"Livrée")</x:f>
        <x:v>2</x:v>
      </x:c>
      <x:c r="F6" s="7" t="n">
        <x:f>IF(D6=0,"n.a.",E6/D6)</x:f>
        <x:v>0.6666666666666666</x:v>
      </x:c>
    </x:row>
    <x:row r="7" ht="25" customHeight="1">
      <x:c r="A7" s="1" t="str">
        <x:v>CLI-002</x:v>
      </x:c>
      <x:c r="B7" s="1" t="str">
        <x:v>Boutique Éclat</x:v>
      </x:c>
      <x:c r="C7" s="1" t="str">
        <x:v>Ganhi</x:v>
      </x:c>
      <x:c r="D7" s="1" t="n">
        <x:f>COUNTIFS(Commandes!$C$6:$C$1041,A7)</x:f>
        <x:v>3</x:v>
      </x:c>
      <x:c r="E7" s="1" t="n">
        <x:f>COUNTIFS(Commandes!$C$6:$C$1041,A7,Commandes!$G$6:$G$1041,"Livrée")</x:f>
        <x:v>2</x:v>
      </x:c>
      <x:c r="F7" s="7" t="n">
        <x:f>IF(D7=0,"n.a.",E7/D7)</x:f>
        <x:v>0.6666666666666666</x:v>
      </x:c>
    </x:row>
    <x:row r="8" ht="25" customHeight="1">
      <x:c r="A8" s="1" t="str">
        <x:v>CLI-003</x:v>
      </x:c>
      <x:c r="B8" s="1" t="str">
        <x:v>Maison Kora</x:v>
      </x:c>
      <x:c r="C8" s="1" t="str">
        <x:v>Akpakpa</x:v>
      </x:c>
      <x:c r="D8" s="1" t="n">
        <x:f>COUNTIFS(Commandes!$C$6:$C$1041,A8)</x:f>
        <x:v>3</x:v>
      </x:c>
      <x:c r="E8" s="1" t="n">
        <x:f>COUNTIFS(Commandes!$C$6:$C$1041,A8,Commandes!$G$6:$G$1041,"Livrée")</x:f>
        <x:v>3</x:v>
      </x:c>
      <x:c r="F8" s="7" t="n">
        <x:f>IF(D8=0,"n.a.",E8/D8)</x:f>
        <x:v>1</x:v>
      </x:c>
    </x:row>
    <x:row r="9" ht="25" customHeight="1">
      <x:c r="A9" s="1" t="str">
        <x:v>CLI-004</x:v>
      </x:c>
      <x:c r="B9" s="1" t="str">
        <x:v>Grâce Dossou</x:v>
      </x:c>
      <x:c r="C9" s="1" t="str">
        <x:v>Cadjèhoun</x:v>
      </x:c>
      <x:c r="D9" s="1" t="n">
        <x:f>COUNTIFS(Commandes!$C$6:$C$1041,A9)</x:f>
        <x:v>3</x:v>
      </x:c>
      <x:c r="E9" s="1" t="n">
        <x:f>COUNTIFS(Commandes!$C$6:$C$1041,A9,Commandes!$G$6:$G$1041,"Livrée")</x:f>
        <x:v>2</x:v>
      </x:c>
      <x:c r="F9" s="7" t="n">
        <x:f>IF(D9=0,"n.a.",E9/D9)</x:f>
        <x:v>0.6666666666666666</x:v>
      </x:c>
    </x:row>
    <x:row r="10" ht="25" customHeight="1">
      <x:c r="A10" s="1" t="str">
        <x:v>CLI-005</x:v>
      </x:c>
      <x:c r="B10" s="1" t="str">
        <x:v>Atelier Mawu</x:v>
      </x:c>
      <x:c r="C10" s="1" t="str">
        <x:v>Ganhi</x:v>
      </x:c>
      <x:c r="D10" s="1" t="n">
        <x:f>COUNTIFS(Commandes!$C$6:$C$1041,A10)</x:f>
        <x:v>3</x:v>
      </x:c>
      <x:c r="E10" s="1" t="n">
        <x:f>COUNTIFS(Commandes!$C$6:$C$1041,A10,Commandes!$G$6:$G$1041,"Livrée")</x:f>
        <x:v>2</x:v>
      </x:c>
      <x:c r="F10" s="7" t="n">
        <x:f>IF(D10=0,"n.a.",E10/D10)</x:f>
        <x:v>0.6666666666666666</x:v>
      </x:c>
    </x:row>
    <x:row r="11" ht="25" customHeight="1">
      <x:c r="A11" s="1" t="str">
        <x:v>CLI-006</x:v>
      </x:c>
      <x:c r="B11" s="1" t="str">
        <x:v>Épicerie Naya</x:v>
      </x:c>
      <x:c r="C11" s="1" t="str">
        <x:v>Akpakpa</x:v>
      </x:c>
      <x:c r="D11" s="1" t="n">
        <x:f>COUNTIFS(Commandes!$C$6:$C$1041,A11)</x:f>
        <x:v>3</x:v>
      </x:c>
      <x:c r="E11" s="1" t="n">
        <x:f>COUNTIFS(Commandes!$C$6:$C$1041,A11,Commandes!$G$6:$G$1041,"Livrée")</x:f>
        <x:v>3</x:v>
      </x:c>
      <x:c r="F11" s="7" t="n">
        <x:f>IF(D11=0,"n.a.",E11/D11)</x:f>
        <x:v>1</x:v>
      </x:c>
    </x:row>
    <x:row r="12" ht="25" customHeight="1">
      <x:c r="A12" s="1" t="str">
        <x:v>CLI-007</x:v>
      </x:c>
      <x:c r="B12" s="1" t="str">
        <x:v>Aline Hounkpe</x:v>
      </x:c>
      <x:c r="C12" s="1" t="str">
        <x:v>Cadjèhoun</x:v>
      </x:c>
      <x:c r="D12" s="1" t="n">
        <x:f>COUNTIFS(Commandes!$C$6:$C$1041,A12)</x:f>
        <x:v>3</x:v>
      </x:c>
      <x:c r="E12" s="1" t="n">
        <x:f>COUNTIFS(Commandes!$C$6:$C$1041,A12,Commandes!$G$6:$G$1041,"Livrée")</x:f>
        <x:v>2</x:v>
      </x:c>
      <x:c r="F12" s="7" t="n">
        <x:f>IF(D12=0,"n.a.",E12/D12)</x:f>
        <x:v>0.6666666666666666</x:v>
      </x:c>
    </x:row>
    <x:row r="13" ht="25" customHeight="1">
      <x:c r="A13" s="1" t="str">
        <x:v>CLI-008</x:v>
      </x:c>
      <x:c r="B13" s="1" t="str">
        <x:v>Sika Mode</x:v>
      </x:c>
      <x:c r="C13" s="1" t="str">
        <x:v>Ganhi</x:v>
      </x:c>
      <x:c r="D13" s="1" t="n">
        <x:f>COUNTIFS(Commandes!$C$6:$C$1041,A13)</x:f>
        <x:v>3</x:v>
      </x:c>
      <x:c r="E13" s="1" t="n">
        <x:f>COUNTIFS(Commandes!$C$6:$C$1041,A13,Commandes!$G$6:$G$1041,"Livrée")</x:f>
        <x:v>2</x:v>
      </x:c>
      <x:c r="F13" s="7" t="n">
        <x:f>IF(D13=0,"n.a.",E13/D13)</x:f>
        <x:v>0.6666666666666666</x:v>
      </x:c>
    </x:row>
    <x:row r="14" ht="25" customHeight="1">
      <x:c r="A14" s="1" t="str">
        <x:v>CLI-009</x:v>
      </x:c>
      <x:c r="B14" s="1" t="str">
        <x:v>Paul Agbo</x:v>
      </x:c>
      <x:c r="C14" s="1" t="str">
        <x:v>Akpakpa</x:v>
      </x:c>
      <x:c r="D14" s="1" t="n">
        <x:f>COUNTIFS(Commandes!$C$6:$C$1041,A14)</x:f>
        <x:v>3</x:v>
      </x:c>
      <x:c r="E14" s="1" t="n">
        <x:f>COUNTIFS(Commandes!$C$6:$C$1041,A14,Commandes!$G$6:$G$1041,"Livrée")</x:f>
        <x:v>3</x:v>
      </x:c>
      <x:c r="F14" s="7" t="n">
        <x:f>IF(D14=0,"n.a.",E14/D14)</x:f>
        <x:v>1</x:v>
      </x:c>
    </x:row>
    <x:row r="15" ht="25" customHeight="1">
      <x:c r="A15" s="1" t="str">
        <x:v>CLI-010</x:v>
      </x:c>
      <x:c r="B15" s="1" t="str">
        <x:v>Comptoir Léo</x:v>
      </x:c>
      <x:c r="C15" s="1" t="str">
        <x:v>Cadjèhoun</x:v>
      </x:c>
      <x:c r="D15" s="1" t="n">
        <x:f>COUNTIFS(Commandes!$C$6:$C$1041,A15)</x:f>
        <x:v>3</x:v>
      </x:c>
      <x:c r="E15" s="1" t="n">
        <x:f>COUNTIFS(Commandes!$C$6:$C$1041,A15,Commandes!$G$6:$G$1041,"Livrée")</x:f>
        <x:v>2</x:v>
      </x:c>
      <x:c r="F15" s="7" t="n">
        <x:f>IF(D15=0,"n.a.",E15/D15)</x:f>
        <x:v>0.6666666666666666</x:v>
      </x:c>
    </x:row>
    <x:row r="16" ht="25" customHeight="1">
      <x:c r="A16" s="1" t="str">
        <x:v>CLI-011</x:v>
      </x:c>
      <x:c r="B16" s="1" t="str">
        <x:v>Rose Adé</x:v>
      </x:c>
      <x:c r="C16" s="1" t="str">
        <x:v>Ganhi</x:v>
      </x:c>
      <x:c r="D16" s="1" t="n">
        <x:f>COUNTIFS(Commandes!$C$6:$C$1041,A16)</x:f>
        <x:v>3</x:v>
      </x:c>
      <x:c r="E16" s="1" t="n">
        <x:f>COUNTIFS(Commandes!$C$6:$C$1041,A16,Commandes!$G$6:$G$1041,"Livrée")</x:f>
        <x:v>2</x:v>
      </x:c>
      <x:c r="F16" s="7" t="n">
        <x:f>IF(D16=0,"n.a.",E16/D16)</x:f>
        <x:v>0.6666666666666666</x:v>
      </x:c>
    </x:row>
    <x:row r="17" ht="25" customHeight="1">
      <x:c r="A17" s="1" t="str">
        <x:v>CLI-012</x:v>
      </x:c>
      <x:c r="B17" s="1" t="str">
        <x:v>Chez Fati</x:v>
      </x:c>
      <x:c r="C17" s="1" t="str">
        <x:v>Akpakpa</x:v>
      </x:c>
      <x:c r="D17" s="1" t="n">
        <x:f>COUNTIFS(Commandes!$C$6:$C$1041,A17)</x:f>
        <x:v>3</x:v>
      </x:c>
      <x:c r="E17" s="1" t="n">
        <x:f>COUNTIFS(Commandes!$C$6:$C$1041,A17,Commandes!$G$6:$G$1041,"Livrée")</x:f>
        <x:v>3</x:v>
      </x:c>
      <x:c r="F17" s="7" t="n">
        <x:f>IF(D17=0,"n.a.",E17/D17)</x:f>
        <x:v>1</x:v>
      </x:c>
    </x:row>
    <x:row r="18" ht="25" customHeight="1">
      <x:c r="A18" s="1"/>
      <x:c r="B18" s="1"/>
      <x:c r="C18" s="1"/>
      <x:c r="D18" s="1"/>
      <x:c r="E18" s="1"/>
      <x:c r="F18" s="1"/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e7c03db46cf1423c"/>
  </x:tableParts>
</x:worksheet>
</file>